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e7c4bd06bbb09d/Desktop/Mahesh/"/>
    </mc:Choice>
  </mc:AlternateContent>
  <xr:revisionPtr revIDLastSave="0" documentId="8_{CBBFF92E-C759-442C-97E3-05FD181DFD1F}" xr6:coauthVersionLast="47" xr6:coauthVersionMax="47" xr10:uidLastSave="{00000000-0000-0000-0000-000000000000}"/>
  <bookViews>
    <workbookView xWindow="-120" yWindow="-120" windowWidth="20730" windowHeight="11040" xr2:uid="{57ACF8E8-05FB-44D9-87B4-30682F65834F}"/>
  </bookViews>
  <sheets>
    <sheet name="Cost_Savings_Calculator" sheetId="1" r:id="rId1"/>
    <sheet name="ROI_Mode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3" l="1"/>
  <c r="E3" i="3"/>
  <c r="D4" i="3"/>
  <c r="D3" i="3"/>
  <c r="C4" i="3"/>
  <c r="C3" i="3"/>
  <c r="B4" i="3"/>
  <c r="B3" i="3"/>
  <c r="E2" i="3"/>
  <c r="D2" i="3"/>
  <c r="B7" i="1"/>
  <c r="B8" i="1" s="1"/>
  <c r="B9" i="1" s="1"/>
  <c r="B6" i="1"/>
</calcChain>
</file>

<file path=xl/sharedStrings.xml><?xml version="1.0" encoding="utf-8"?>
<sst xmlns="http://schemas.openxmlformats.org/spreadsheetml/2006/main" count="16" uniqueCount="16">
  <si>
    <t>Number of Employees</t>
  </si>
  <si>
    <t>Average U.S. Salary (per employee)</t>
  </si>
  <si>
    <t>Outsourcing Savings %</t>
  </si>
  <si>
    <t>Role Type</t>
  </si>
  <si>
    <t>Engineering</t>
  </si>
  <si>
    <t>U.S. Hiring Cost</t>
  </si>
  <si>
    <t>Outsourced Cost</t>
  </si>
  <si>
    <t>Annual Savings</t>
  </si>
  <si>
    <t>3-Year Savings</t>
  </si>
  <si>
    <t>Label</t>
  </si>
  <si>
    <t>Example Value</t>
  </si>
  <si>
    <t>Year</t>
  </si>
  <si>
    <t>U.S. Hiring Cost (USD)</t>
  </si>
  <si>
    <t>Outsourced Cost (USD)</t>
  </si>
  <si>
    <t>Savings (USD)</t>
  </si>
  <si>
    <t>Cumulative ROI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</si>
</sst>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color theme="1"/>
      <name val="Arial Unicode MS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6" fontId="0" fillId="0" borderId="0" xfId="0" applyNumberForma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1" fillId="3" borderId="0" xfId="0" applyFont="1" applyFill="1" applyAlignment="1">
      <alignment horizontal="center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U.S. vs Outsourced Cost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Cost_Savings_Calculator!$A$6</c:f>
              <c:strCache>
                <c:ptCount val="1"/>
                <c:pt idx="0">
                  <c:v>U.S. Hiring 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Cost_Savings_Calculator!$B$6:$D$6</c:f>
              <c:numCache>
                <c:formatCode>General</c:formatCode>
                <c:ptCount val="3"/>
                <c:pt idx="0">
                  <c:v>1000000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B3-40D3-B52A-EC44A65D78FB}"/>
            </c:ext>
          </c:extLst>
        </c:ser>
        <c:ser>
          <c:idx val="1"/>
          <c:order val="1"/>
          <c:tx>
            <c:strRef>
              <c:f>Cost_Savings_Calculator!$A$7</c:f>
              <c:strCache>
                <c:ptCount val="1"/>
                <c:pt idx="0">
                  <c:v>Outsourced Cost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Cost_Savings_Calculator!$B$7:$D$7</c:f>
              <c:numCache>
                <c:formatCode>General</c:formatCode>
                <c:ptCount val="3"/>
                <c:pt idx="0">
                  <c:v>400000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B3-40D3-B52A-EC44A65D78FB}"/>
            </c:ext>
          </c:extLst>
        </c:ser>
        <c:ser>
          <c:idx val="2"/>
          <c:order val="2"/>
          <c:tx>
            <c:strRef>
              <c:f>Cost_Savings_Calculator!$A$8</c:f>
              <c:strCache>
                <c:ptCount val="1"/>
                <c:pt idx="0">
                  <c:v>Annual Savings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Cost_Savings_Calculator!$B$8:$D$8</c:f>
              <c:numCache>
                <c:formatCode>General</c:formatCode>
                <c:ptCount val="3"/>
                <c:pt idx="0">
                  <c:v>600000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B3-40D3-B52A-EC44A65D78FB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5934560"/>
        <c:axId val="2045945600"/>
      </c:barChart>
      <c:catAx>
        <c:axId val="20459345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5945600"/>
        <c:crosses val="autoZero"/>
        <c:auto val="1"/>
        <c:lblAlgn val="ctr"/>
        <c:lblOffset val="100"/>
        <c:noMultiLvlLbl val="0"/>
      </c:catAx>
      <c:valAx>
        <c:axId val="204594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5934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3-Year ROI Projection (2025–2027)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ROI_Model!$A$2:$E$2</c:f>
              <c:numCache>
                <c:formatCode>General</c:formatCode>
                <c:ptCount val="5"/>
                <c:pt idx="0">
                  <c:v>2025</c:v>
                </c:pt>
                <c:pt idx="1">
                  <c:v>1000000</c:v>
                </c:pt>
                <c:pt idx="2">
                  <c:v>400000</c:v>
                </c:pt>
                <c:pt idx="3">
                  <c:v>600000</c:v>
                </c:pt>
                <c:pt idx="4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BA-465E-B8C0-3F564DDF82A3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ROI_Model!$A$3:$E$3</c:f>
              <c:numCache>
                <c:formatCode>General</c:formatCode>
                <c:ptCount val="5"/>
                <c:pt idx="0">
                  <c:v>2026</c:v>
                </c:pt>
                <c:pt idx="1">
                  <c:v>1050000</c:v>
                </c:pt>
                <c:pt idx="2">
                  <c:v>420000</c:v>
                </c:pt>
                <c:pt idx="3">
                  <c:v>630000</c:v>
                </c:pt>
                <c:pt idx="4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BA-465E-B8C0-3F564DDF82A3}"/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1">
                    <a:tint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dLbls>
            <c:dLbl>
              <c:idx val="1"/>
              <c:layout>
                <c:manualLayout>
                  <c:x val="-2.7792817023034773E-3"/>
                  <c:y val="-4.282536505532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6BA-465E-B8C0-3F564DDF82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ROI_Model!$A$4:$E$4</c:f>
              <c:numCache>
                <c:formatCode>General</c:formatCode>
                <c:ptCount val="5"/>
                <c:pt idx="0">
                  <c:v>2027</c:v>
                </c:pt>
                <c:pt idx="1">
                  <c:v>1102500</c:v>
                </c:pt>
                <c:pt idx="2">
                  <c:v>441000</c:v>
                </c:pt>
                <c:pt idx="3">
                  <c:v>661500</c:v>
                </c:pt>
                <c:pt idx="4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BA-465E-B8C0-3F564DDF82A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2133586144"/>
        <c:axId val="1994269248"/>
        <c:axId val="1949611136"/>
      </c:line3DChart>
      <c:catAx>
        <c:axId val="213358614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269248"/>
        <c:crosses val="autoZero"/>
        <c:auto val="1"/>
        <c:lblAlgn val="ctr"/>
        <c:lblOffset val="100"/>
        <c:noMultiLvlLbl val="0"/>
      </c:catAx>
      <c:valAx>
        <c:axId val="199426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586144"/>
        <c:crosses val="autoZero"/>
        <c:crossBetween val="between"/>
      </c:valAx>
      <c:serAx>
        <c:axId val="194961113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269248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11</xdr:row>
      <xdr:rowOff>152400</xdr:rowOff>
    </xdr:from>
    <xdr:to>
      <xdr:col>3</xdr:col>
      <xdr:colOff>923924</xdr:colOff>
      <xdr:row>27</xdr:row>
      <xdr:rowOff>61912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DB7531-1288-6A32-DA01-FE3B7E4122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39583</xdr:colOff>
      <xdr:row>4</xdr:row>
      <xdr:rowOff>160813</xdr:rowOff>
    </xdr:from>
    <xdr:to>
      <xdr:col>4</xdr:col>
      <xdr:colOff>1348343</xdr:colOff>
      <xdr:row>22</xdr:row>
      <xdr:rowOff>130052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E5F17E-4803-4FE9-16E6-F0DF38D6E6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124D9-F264-413B-87C9-6A6B4306170A}">
  <dimension ref="A1:D14"/>
  <sheetViews>
    <sheetView tabSelected="1" workbookViewId="0">
      <selection activeCell="C7" sqref="C7"/>
    </sheetView>
  </sheetViews>
  <sheetFormatPr defaultRowHeight="15"/>
  <cols>
    <col min="1" max="1" width="30.140625" style="5" customWidth="1"/>
    <col min="2" max="2" width="28" style="4" customWidth="1"/>
    <col min="3" max="3" width="25.42578125" style="5" customWidth="1"/>
    <col min="4" max="4" width="24.28515625" style="4" customWidth="1"/>
  </cols>
  <sheetData>
    <row r="1" spans="1:4" s="12" customFormat="1">
      <c r="A1" s="11" t="s">
        <v>9</v>
      </c>
      <c r="B1" s="11" t="s">
        <v>10</v>
      </c>
      <c r="C1" s="11"/>
      <c r="D1" s="11"/>
    </row>
    <row r="2" spans="1:4">
      <c r="A2" s="1" t="s">
        <v>0</v>
      </c>
      <c r="B2" s="1">
        <v>10</v>
      </c>
      <c r="C2" s="1"/>
      <c r="D2" s="6"/>
    </row>
    <row r="3" spans="1:4" ht="30">
      <c r="A3" s="1" t="s">
        <v>1</v>
      </c>
      <c r="B3" s="1">
        <v>100000</v>
      </c>
      <c r="C3" s="1"/>
      <c r="D3" s="6"/>
    </row>
    <row r="4" spans="1:4">
      <c r="A4" s="1" t="s">
        <v>2</v>
      </c>
      <c r="B4" s="3">
        <v>0.6</v>
      </c>
      <c r="C4" s="3"/>
      <c r="D4" s="6"/>
    </row>
    <row r="5" spans="1:4">
      <c r="A5" s="1" t="s">
        <v>3</v>
      </c>
      <c r="B5" s="1" t="s">
        <v>4</v>
      </c>
      <c r="C5" s="1"/>
      <c r="D5" s="1"/>
    </row>
    <row r="6" spans="1:4">
      <c r="A6" s="1" t="s">
        <v>5</v>
      </c>
      <c r="B6" s="1">
        <f>B2*B3</f>
        <v>1000000</v>
      </c>
    </row>
    <row r="7" spans="1:4">
      <c r="A7" s="1" t="s">
        <v>6</v>
      </c>
      <c r="B7" s="4">
        <f>B6*(1-B4)</f>
        <v>400000</v>
      </c>
    </row>
    <row r="8" spans="1:4">
      <c r="A8" s="1" t="s">
        <v>7</v>
      </c>
      <c r="B8" s="4">
        <f>B6-B7</f>
        <v>600000</v>
      </c>
    </row>
    <row r="9" spans="1:4">
      <c r="A9" s="1" t="s">
        <v>8</v>
      </c>
      <c r="B9" s="4">
        <f>B8*3</f>
        <v>1800000</v>
      </c>
    </row>
    <row r="10" spans="1:4">
      <c r="B10" s="2"/>
      <c r="C10" s="2"/>
      <c r="D10" s="2"/>
    </row>
    <row r="11" spans="1:4">
      <c r="B11" s="1"/>
      <c r="C11" s="7"/>
      <c r="D11" s="8"/>
    </row>
    <row r="12" spans="1:4">
      <c r="B12" s="1"/>
      <c r="C12" s="7"/>
      <c r="D12" s="1"/>
    </row>
    <row r="13" spans="1:4">
      <c r="B13" s="1"/>
      <c r="C13" s="7"/>
      <c r="D13" s="8"/>
    </row>
    <row r="14" spans="1:4">
      <c r="B14" s="1"/>
      <c r="C14" s="7"/>
      <c r="D14" s="8"/>
    </row>
  </sheetData>
  <phoneticPr fontId="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1B694-2A27-44E1-94C0-75B1922FFE7E}">
  <dimension ref="A1:E4"/>
  <sheetViews>
    <sheetView zoomScale="84" zoomScaleNormal="100" workbookViewId="0">
      <selection activeCell="I7" sqref="I7"/>
    </sheetView>
  </sheetViews>
  <sheetFormatPr defaultRowHeight="15"/>
  <cols>
    <col min="1" max="1" width="19.85546875" style="4" customWidth="1"/>
    <col min="2" max="2" width="21.42578125" style="4" customWidth="1"/>
    <col min="3" max="3" width="19.85546875" style="4" customWidth="1"/>
    <col min="4" max="4" width="26.42578125" style="4" customWidth="1"/>
    <col min="5" max="5" width="24.85546875" style="4" customWidth="1"/>
  </cols>
  <sheetData>
    <row r="1" spans="1:5" s="10" customFormat="1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</row>
    <row r="2" spans="1:5">
      <c r="A2" s="1">
        <v>2025</v>
      </c>
      <c r="B2" s="1">
        <v>1000000</v>
      </c>
      <c r="C2" s="1">
        <v>400000</v>
      </c>
      <c r="D2" s="7">
        <f>B2-C2</f>
        <v>600000</v>
      </c>
      <c r="E2" s="7">
        <f>D2/B2</f>
        <v>0.6</v>
      </c>
    </row>
    <row r="3" spans="1:5">
      <c r="A3" s="4">
        <v>2026</v>
      </c>
      <c r="B3" s="4">
        <f>B2*1.05</f>
        <v>1050000</v>
      </c>
      <c r="C3" s="4">
        <f>C2*1.05</f>
        <v>420000</v>
      </c>
      <c r="D3" s="4">
        <f>B3-C3</f>
        <v>630000</v>
      </c>
      <c r="E3" s="4">
        <f>(D3/B3)</f>
        <v>0.6</v>
      </c>
    </row>
    <row r="4" spans="1:5">
      <c r="A4" s="4">
        <v>2027</v>
      </c>
      <c r="B4" s="4">
        <f>B3*1.05</f>
        <v>1102500</v>
      </c>
      <c r="C4" s="4">
        <f>C3*1.05</f>
        <v>441000</v>
      </c>
      <c r="D4" s="4">
        <f>B4-C4</f>
        <v>661500</v>
      </c>
      <c r="E4" s="4">
        <f>(D4/B4)</f>
        <v>0.6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Cost_Savings_Calculator</vt:lpstr>
      <vt:lpstr>ROI_Model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mallikarjuna namala</dc:creator>
  <cp:lastModifiedBy>mallikarjuna namala</cp:lastModifiedBy>
  <dcterms:created xsi:type="dcterms:W3CDTF">2025-11-11T03:38:07Z</dcterms:created>
  <dcterms:modified xsi:type="dcterms:W3CDTF">2025-11-11T05:03:47Z</dcterms:modified>
</cp:coreProperties>
</file>